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0_Start_Here" sheetId="1" state="visible" r:id="rId1"/>
    <sheet name="1_Your_Details" sheetId="2" state="visible" r:id="rId2"/>
    <sheet name="2_Must_haves" sheetId="3" state="visible" r:id="rId3"/>
    <sheet name="3_Levels" sheetId="4" state="visible" r:id="rId4"/>
    <sheet name="4_Integration" sheetId="5" state="visible" r:id="rId5"/>
    <sheet name="5_Metrics" sheetId="6" state="visible" r:id="rId6"/>
    <sheet name="6_Hard_cases" sheetId="7" state="visible" r:id="rId7"/>
    <sheet name="7_Declaration" sheetId="8" state="visible" r:id="rId8"/>
  </sheets>
  <definedNames/>
  <calcPr calcId="124519" fullCalcOnLoad="1" refMode="A1" iterate="0" iterateCount="100" iterateDelta="0.0001"/>
</workbook>
</file>

<file path=xl/styles.xml><?xml version="1.0" encoding="utf-8"?>
<styleSheet xmlns="http://schemas.openxmlformats.org/spreadsheetml/2006/main">
  <numFmts count="0"/>
  <fonts count="10">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3"/>
    </font>
    <font>
      <name val="Arial"/>
      <charset val="1"/>
      <family val="0"/>
      <color rgb="FFFFFFFF"/>
      <sz val="10"/>
    </font>
    <font>
      <name val="Arial"/>
      <charset val="1"/>
      <family val="0"/>
      <b val="1"/>
      <color rgb="FFFFFFFF"/>
      <sz val="10"/>
    </font>
    <font>
      <name val="Arial"/>
      <charset val="1"/>
      <family val="0"/>
      <color rgb="FF14212B"/>
      <sz val="10"/>
    </font>
    <font>
      <name val="Arial"/>
      <charset val="1"/>
      <family val="0"/>
      <b val="1"/>
      <color rgb="FF14212B"/>
      <sz val="10"/>
    </font>
    <font>
      <name val="Arial"/>
      <charset val="1"/>
      <family val="0"/>
      <i val="1"/>
      <color rgb="FF5B6B78"/>
      <sz val="10"/>
    </font>
  </fonts>
  <fills count="8">
    <fill>
      <patternFill/>
    </fill>
    <fill>
      <patternFill patternType="gray125"/>
    </fill>
    <fill>
      <patternFill patternType="solid">
        <fgColor rgb="FF0B1B2B"/>
        <bgColor rgb="FF14212B"/>
      </patternFill>
    </fill>
    <fill>
      <patternFill patternType="solid">
        <fgColor rgb="FF008F8A"/>
        <bgColor rgb="FF008080"/>
      </patternFill>
    </fill>
    <fill>
      <patternFill patternType="solid">
        <fgColor rgb="FFF3F5F7"/>
        <bgColor rgb="FFE7F5F3"/>
      </patternFill>
    </fill>
    <fill>
      <patternFill patternType="solid">
        <fgColor rgb="FF12324D"/>
        <bgColor rgb="FF14212B"/>
      </patternFill>
    </fill>
    <fill>
      <patternFill patternType="solid">
        <fgColor rgb="FFE7F5F3"/>
        <bgColor rgb="FFF3F5F7"/>
      </patternFill>
    </fill>
    <fill>
      <patternFill patternType="solid">
        <fgColor rgb="FFFFF4C7"/>
        <bgColor rgb="FFF3F5F7"/>
      </patternFill>
    </fill>
  </fills>
  <borders count="7">
    <border>
      <left/>
      <right/>
      <top/>
      <bottom/>
      <diagonal/>
    </border>
    <border>
      <left style="thin">
        <color rgb="FFD5DDE3"/>
      </left>
      <right/>
      <top style="thin">
        <color rgb="FFD5DDE3"/>
      </top>
      <bottom style="thin">
        <color rgb="FFD5DDE3"/>
      </bottom>
      <diagonal/>
    </border>
    <border>
      <left style="thin">
        <color rgb="FFD5DDE3"/>
      </left>
      <right style="thin">
        <color rgb="FFD5DDE3"/>
      </right>
      <top style="thin">
        <color rgb="FFD5DDE3"/>
      </top>
      <bottom style="thin">
        <color rgb="FFD5DDE3"/>
      </bottom>
      <diagonal/>
    </border>
    <border>
      <left/>
      <right/>
      <top style="thin">
        <color rgb="FFD5DDE3"/>
      </top>
      <bottom/>
      <diagonal/>
    </border>
    <border>
      <left/>
      <right/>
      <top style="thin">
        <color rgb="FFD5DDE3"/>
      </top>
      <bottom style="thin">
        <color rgb="FFD5DDE3"/>
      </bottom>
      <diagonal/>
    </border>
    <border>
      <left/>
      <right style="thin">
        <color rgb="FFD5DDE3"/>
      </right>
      <top style="thin">
        <color rgb="FFD5DDE3"/>
      </top>
      <bottom/>
      <diagonal/>
    </border>
    <border>
      <left/>
      <right style="thin">
        <color rgb="FFD5DDE3"/>
      </right>
      <top style="thin">
        <color rgb="FFD5DDE3"/>
      </top>
      <bottom style="thin">
        <color rgb="FFD5DDE3"/>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7">
    <xf numFmtId="0" fontId="0" fillId="0" borderId="0" applyAlignment="1" pivotButton="0" quotePrefix="0" xfId="0">
      <alignment horizontal="general" vertical="bottom"/>
    </xf>
    <xf numFmtId="0" fontId="4" fillId="2" borderId="1" applyAlignment="1" pivotButton="0" quotePrefix="0" xfId="0">
      <alignment horizontal="general" vertical="top" wrapText="1"/>
    </xf>
    <xf numFmtId="0" fontId="5" fillId="3" borderId="1" applyAlignment="1" pivotButton="0" quotePrefix="0" xfId="0">
      <alignment horizontal="general" vertical="top" wrapText="1"/>
    </xf>
    <xf numFmtId="0" fontId="6" fillId="3" borderId="2" applyAlignment="1" pivotButton="0" quotePrefix="0" xfId="0">
      <alignment horizontal="general" vertical="top" wrapText="1"/>
    </xf>
    <xf numFmtId="0" fontId="7" fillId="0" borderId="2" applyAlignment="1" pivotButton="0" quotePrefix="0" xfId="0">
      <alignment horizontal="general" vertical="top" wrapText="1"/>
    </xf>
    <xf numFmtId="0" fontId="8" fillId="4" borderId="2" applyAlignment="1" pivotButton="0" quotePrefix="0" xfId="0">
      <alignment horizontal="general" vertical="top" wrapText="1"/>
    </xf>
    <xf numFmtId="0" fontId="6" fillId="5" borderId="2" applyAlignment="1" pivotButton="0" quotePrefix="0" xfId="0">
      <alignment horizontal="general" vertical="top" wrapText="1"/>
    </xf>
    <xf numFmtId="0" fontId="7" fillId="5" borderId="2" applyAlignment="1" pivotButton="0" quotePrefix="0" xfId="0">
      <alignment horizontal="general" vertical="top" wrapText="1"/>
    </xf>
    <xf numFmtId="0" fontId="8" fillId="6" borderId="2" applyAlignment="1" pivotButton="0" quotePrefix="0" xfId="0">
      <alignment horizontal="general" vertical="top" wrapText="1"/>
    </xf>
    <xf numFmtId="0" fontId="7" fillId="7" borderId="1" applyAlignment="1" pivotButton="0" quotePrefix="0" xfId="0">
      <alignment horizontal="general" vertical="top" wrapText="1"/>
    </xf>
    <xf numFmtId="0" fontId="7" fillId="7" borderId="2" applyAlignment="1" pivotButton="0" quotePrefix="0" xfId="0">
      <alignment horizontal="general" vertical="top" wrapText="1"/>
    </xf>
    <xf numFmtId="0" fontId="9" fillId="4" borderId="2"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general" vertical="top" wrapText="1"/>
    </xf>
    <xf numFmtId="0" fontId="0" fillId="0" borderId="4" pivotButton="0" quotePrefix="0" xfId="0"/>
    <xf numFmtId="0" fontId="5" fillId="3" borderId="1" applyAlignment="1" pivotButton="0" quotePrefix="0" xfId="0">
      <alignment horizontal="general" vertical="top" wrapText="1"/>
    </xf>
    <xf numFmtId="0" fontId="6" fillId="3" borderId="2" applyAlignment="1" pivotButton="0" quotePrefix="0" xfId="0">
      <alignment horizontal="general" vertical="top" wrapText="1"/>
    </xf>
    <xf numFmtId="0" fontId="7" fillId="0" borderId="2" applyAlignment="1" pivotButton="0" quotePrefix="0" xfId="0">
      <alignment horizontal="general" vertical="top" wrapText="1"/>
    </xf>
    <xf numFmtId="0" fontId="8" fillId="4" borderId="2" applyAlignment="1" pivotButton="0" quotePrefix="0" xfId="0">
      <alignment horizontal="general" vertical="top" wrapText="1"/>
    </xf>
    <xf numFmtId="0" fontId="6" fillId="5" borderId="2" applyAlignment="1" pivotButton="0" quotePrefix="0" xfId="0">
      <alignment horizontal="general" vertical="top" wrapText="1"/>
    </xf>
    <xf numFmtId="0" fontId="7" fillId="5" borderId="2" applyAlignment="1" pivotButton="0" quotePrefix="0" xfId="0">
      <alignment horizontal="general" vertical="top" wrapText="1"/>
    </xf>
    <xf numFmtId="0" fontId="8" fillId="6" borderId="2" applyAlignment="1" pivotButton="0" quotePrefix="0" xfId="0">
      <alignment horizontal="general" vertical="top" wrapText="1"/>
    </xf>
    <xf numFmtId="0" fontId="7" fillId="7" borderId="1" applyAlignment="1" pivotButton="0" quotePrefix="0" xfId="0">
      <alignment horizontal="general" vertical="top" wrapText="1"/>
    </xf>
    <xf numFmtId="0" fontId="7" fillId="7" borderId="2" applyAlignment="1" pivotButton="0" quotePrefix="0" xfId="0">
      <alignment horizontal="general" vertical="top" wrapText="1"/>
    </xf>
    <xf numFmtId="0" fontId="9" fillId="4" borderId="2" applyAlignment="1" pivotButton="0" quotePrefix="0" xfId="0">
      <alignment horizontal="general" vertical="top" wrapText="1"/>
    </xf>
    <xf numFmtId="0" fontId="0" fillId="0" borderId="6"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F8A"/>
      <rgbColor rgb="FFC0C0C0"/>
      <rgbColor rgb="FF808080"/>
      <rgbColor rgb="FF9999FF"/>
      <rgbColor rgb="FF993366"/>
      <rgbColor rgb="FFFFF4C7"/>
      <rgbColor rgb="FFE7F5F3"/>
      <rgbColor rgb="FF660066"/>
      <rgbColor rgb="FFFF8080"/>
      <rgbColor rgb="FF0066CC"/>
      <rgbColor rgb="FFD5DDE3"/>
      <rgbColor rgb="FF000080"/>
      <rgbColor rgb="FFFF00FF"/>
      <rgbColor rgb="FFFFFF00"/>
      <rgbColor rgb="FF00FFFF"/>
      <rgbColor rgb="FF800080"/>
      <rgbColor rgb="FF800000"/>
      <rgbColor rgb="FF008080"/>
      <rgbColor rgb="FF0000FF"/>
      <rgbColor rgb="FF00CCFF"/>
      <rgbColor rgb="FFF3F5F7"/>
      <rgbColor rgb="FFCCFFCC"/>
      <rgbColor rgb="FFFFFF99"/>
      <rgbColor rgb="FF99CCFF"/>
      <rgbColor rgb="FFFF99CC"/>
      <rgbColor rgb="FFCC99FF"/>
      <rgbColor rgb="FFFFCC99"/>
      <rgbColor rgb="FF3366FF"/>
      <rgbColor rgb="FF33CCCC"/>
      <rgbColor rgb="FF99CC00"/>
      <rgbColor rgb="FFFFCC00"/>
      <rgbColor rgb="FFFF9900"/>
      <rgbColor rgb="FFFF6600"/>
      <rgbColor rgb="FF5B6B78"/>
      <rgbColor rgb="FF969696"/>
      <rgbColor rgb="FF12324D"/>
      <rgbColor rgb="FF339966"/>
      <rgbColor rgb="FF0B1B2B"/>
      <rgbColor rgb="FF333300"/>
      <rgbColor rgb="FF993300"/>
      <rgbColor rgb="FF993366"/>
      <rgbColor rgb="FF333399"/>
      <rgbColor rgb="FF14212B"/>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C22"/>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outlineLevelCol="0"/>
  <cols>
    <col width="6" customWidth="1" style="12" min="1" max="1"/>
    <col width="96" customWidth="1" style="12" min="2" max="2"/>
    <col width="16" customWidth="1" style="12" min="3" max="3"/>
  </cols>
  <sheetData>
    <row r="1" ht="24" customHeight="1" s="13">
      <c r="A1" s="14" t="inlineStr">
        <is>
          <t>IncuBrix Engineering Assessment 4 | Distribution: Long-Tail Destination Network | Submission Form</t>
        </is>
      </c>
      <c r="B1" s="15" t="n"/>
      <c r="C1" s="15" t="n"/>
    </row>
    <row r="2" ht="31.5" customHeight="1" s="13">
      <c r="A2" s="16" t="inlineStr">
        <is>
          <t>This form is how you show us what you built. Fill it as you work. We verify every claim, so be precise.</t>
        </is>
      </c>
      <c r="B2" s="15" t="n"/>
      <c r="C2" s="15" t="n"/>
    </row>
    <row r="4" ht="19.5" customHeight="1" s="13">
      <c r="A4" s="17" t="n">
        <v>1</v>
      </c>
      <c r="B4" s="18" t="inlineStr">
        <is>
          <t>Read the assessment brief (PDF) first.</t>
        </is>
      </c>
    </row>
    <row r="5" ht="19.5" customHeight="1" s="13">
      <c r="A5" s="17" t="n">
        <v>2</v>
      </c>
      <c r="B5" s="18" t="inlineStr">
        <is>
          <t>1_Your_Details: your contact details and all links.</t>
        </is>
      </c>
    </row>
    <row r="6" ht="19.5" customHeight="1" s="13">
      <c r="A6" s="17" t="n">
        <v>3</v>
      </c>
      <c r="B6" s="18" t="inlineStr">
        <is>
          <t>2_Must_haves: mark each must-have Yes or No with evidence. Every one must pass to be selected.</t>
        </is>
      </c>
    </row>
    <row r="7" ht="19.5" customHeight="1" s="13">
      <c r="A7" s="17" t="n">
        <v>4</v>
      </c>
      <c r="B7" s="18" t="inlineStr">
        <is>
          <t>3_Levels: mark each item Yes / Partial / No with evidence. The level you reached is calculated for you.</t>
        </is>
      </c>
    </row>
    <row r="8" ht="19.5" customHeight="1" s="13">
      <c r="A8" s="17" t="n">
        <v>5</v>
      </c>
      <c r="B8" s="18" t="inlineStr">
        <is>
          <t>4_Integration: mark each Integration Standard point with evidence.</t>
        </is>
      </c>
    </row>
    <row r="9" ht="19.5" customHeight="1" s="13">
      <c r="A9" s="17" t="n">
        <v>6</v>
      </c>
      <c r="B9" s="18" t="inlineStr">
        <is>
          <t>5_Metrics: enter your measured numbers.  6_Hard_cases: say how your system handles each situation.</t>
        </is>
      </c>
    </row>
    <row r="10" ht="19.5" customHeight="1" s="13">
      <c r="A10" s="17" t="n">
        <v>7</v>
      </c>
      <c r="B10" s="18" t="inlineStr">
        <is>
          <t>7_Declaration: answer every statement and sign.</t>
        </is>
      </c>
    </row>
    <row r="11" ht="19.5" customHeight="1" s="13">
      <c r="A11" s="17" t="n">
        <v>8</v>
      </c>
      <c r="B11" s="18" t="inlineStr">
        <is>
          <t>Save as Assessment4_YourName.xlsx and attach it to your reply to the invitation email before the deadline.</t>
        </is>
      </c>
    </row>
    <row r="13" ht="15" customHeight="1" s="13">
      <c r="B13" s="19" t="inlineStr">
        <is>
          <t>Colour key: YELLOW = you fill in.  GREEN = calculated automatically.  GREY = instructions or example.</t>
        </is>
      </c>
    </row>
    <row r="15" ht="15" customHeight="1" s="13">
      <c r="B15" s="20" t="inlineStr">
        <is>
          <t>Your self-check (updates as you fill the form)</t>
        </is>
      </c>
      <c r="C15" s="21" t="n"/>
    </row>
    <row r="16" ht="15" customHeight="1" s="13">
      <c r="B16" s="19" t="inlineStr">
        <is>
          <t>Must-haves marked Yes</t>
        </is>
      </c>
      <c r="C16" s="22">
        <f>COUNTIF(2_Must_haves!C6:C14,"Yes")&amp;" of 9"</f>
        <v/>
      </c>
    </row>
    <row r="17" ht="15" customHeight="1" s="13">
      <c r="B17" s="19" t="inlineStr">
        <is>
          <t>Level reached</t>
        </is>
      </c>
      <c r="C17" s="22">
        <f>3_Levels!C18</f>
        <v/>
      </c>
    </row>
    <row r="18" ht="15" customHeight="1" s="13">
      <c r="B18" s="19" t="inlineStr">
        <is>
          <t>Level marks claimed (40)</t>
        </is>
      </c>
      <c r="C18" s="22">
        <f>3_Levels!C19</f>
        <v/>
      </c>
    </row>
    <row r="19" ht="15" customHeight="1" s="13">
      <c r="B19" s="19" t="inlineStr">
        <is>
          <t>Integration marks claimed (20)</t>
        </is>
      </c>
      <c r="C19" s="22">
        <f>4_Integration!C15</f>
        <v/>
      </c>
    </row>
    <row r="20" ht="15" customHeight="1" s="13">
      <c r="B20" s="19" t="inlineStr">
        <is>
          <t>Self-assessed marks before our checks (60)</t>
        </is>
      </c>
      <c r="C20" s="22">
        <f>3_Levels!C19+4_Integration!C15</f>
        <v/>
      </c>
    </row>
    <row r="22" ht="43.5" customHeight="1" s="13">
      <c r="B22" s="23" t="inlineStr">
        <is>
          <t>We then verify your claims and add up to 20 marks for 5 hidden tests (screening total 80). Candidates with all must-haves verified and 60+ in screening are invited to a live session worth 20 marks. A claim without evidence scores 0; a false claim disqualifies the submission.</t>
        </is>
      </c>
      <c r="C22" s="15" t="n"/>
    </row>
  </sheetData>
  <mergeCells count="3">
    <mergeCell ref="A1:C1"/>
    <mergeCell ref="B22:C22"/>
    <mergeCell ref="A2:C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1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outlineLevelCol="0"/>
  <cols>
    <col width="34" customWidth="1" style="12" min="1" max="1"/>
    <col width="70" customWidth="1" style="12" min="2" max="2"/>
  </cols>
  <sheetData>
    <row r="1" ht="24" customHeight="1" s="13">
      <c r="A1" s="14" t="inlineStr">
        <is>
          <t>IncuBrix Assessment 4 | Submission Form | Distribution: Long-Tail Destination Network</t>
        </is>
      </c>
      <c r="B1" s="15" t="n"/>
    </row>
    <row r="2" ht="31.5" customHeight="1" s="13">
      <c r="A2" s="16" t="inlineStr">
        <is>
          <t>Fill every YELLOW cell. Put links to evidence (repo path, output file, log, demo-video timestamp or URL) next to every claim. Save as Assessment4_&lt;YourName&gt;.xlsx and attach it to your reply email.</t>
        </is>
      </c>
      <c r="B2" s="15" t="n"/>
    </row>
    <row r="4" ht="19.5" customHeight="1" s="13">
      <c r="A4" s="19" t="inlineStr">
        <is>
          <t>Full name</t>
        </is>
      </c>
      <c r="B4" s="24" t="inlineStr">
        <is>
          <t>IncuBrix Placement Candidate</t>
        </is>
      </c>
    </row>
    <row r="5" ht="19.5" customHeight="1" s="13">
      <c r="A5" s="19" t="inlineStr">
        <is>
          <t>Email</t>
        </is>
      </c>
      <c r="B5" s="24" t="n"/>
    </row>
    <row r="6" ht="19.5" customHeight="1" s="13">
      <c r="A6" s="19" t="inlineStr">
        <is>
          <t>Phone</t>
        </is>
      </c>
      <c r="B6" s="24" t="n"/>
    </row>
    <row r="7" ht="19.5" customHeight="1" s="13">
      <c r="A7" s="19" t="inlineStr">
        <is>
          <t>College and degree</t>
        </is>
      </c>
      <c r="B7" s="24" t="n"/>
    </row>
    <row r="8" ht="19.5" customHeight="1" s="13">
      <c r="A8" s="19" t="inlineStr">
        <is>
          <t>Graduation year</t>
        </is>
      </c>
      <c r="B8" s="24" t="n"/>
    </row>
    <row r="9" ht="19.5" customHeight="1" s="13">
      <c r="A9" s="19" t="inlineStr">
        <is>
          <t>Live demo URL</t>
        </is>
      </c>
      <c r="B9" s="24" t="inlineStr">
        <is>
          <t>http://localhost:8000</t>
        </is>
      </c>
    </row>
    <row r="10" ht="19.5" customHeight="1" s="13">
      <c r="A10" s="19" t="inlineStr">
        <is>
          <t>Live demo access token or login (if protected)</t>
        </is>
      </c>
      <c r="B10" s="24" t="n"/>
    </row>
    <row r="11" ht="19.5" customHeight="1" s="13">
      <c r="A11" s="19" t="inlineStr">
        <is>
          <t>Cold-start wait time (if any)</t>
        </is>
      </c>
      <c r="B11" s="24" t="inlineStr">
        <is>
          <t>0s (Instant local uvicorn startup)</t>
        </is>
      </c>
    </row>
    <row r="12" ht="19.5" customHeight="1" s="13">
      <c r="A12" s="19" t="inlineStr">
        <is>
          <t>Repository URL (private, reviewer invited)</t>
        </is>
      </c>
      <c r="B12" s="24" t="n"/>
    </row>
    <row r="13" ht="19.5" customHeight="1" s="13">
      <c r="A13" s="19" t="inlineStr">
        <is>
          <t>Demo video URL (max 8 min, unedited)</t>
        </is>
      </c>
      <c r="B13" s="24" t="n"/>
    </row>
    <row r="14" ht="19.5" customHeight="1" s="13">
      <c r="A14" s="19" t="inlineStr">
        <is>
          <t>REPORT.md link</t>
        </is>
      </c>
      <c r="B14" s="24" t="inlineStr">
        <is>
          <t>REPORT.md</t>
        </is>
      </c>
    </row>
    <row r="15" ht="19.5" customHeight="1" s="13">
      <c r="A15" s="19" t="inlineStr">
        <is>
          <t>Compute used (laptop / cloud / GPU, with specs)</t>
        </is>
      </c>
      <c r="B15" s="24" t="inlineStr">
        <is>
          <t>Apple Silicon MacBook Pro (Darwin arm64, 16GB RAM)</t>
        </is>
      </c>
    </row>
    <row r="16" ht="19.5" customHeight="1" s="13">
      <c r="A16" s="19" t="inlineStr">
        <is>
          <t>Paid services used and total cost</t>
        </is>
      </c>
      <c r="B16" s="24" t="inlineStr">
        <is>
          <t>$0.00 (Pure zero-cost local execution &amp; test instances)</t>
        </is>
      </c>
    </row>
    <row r="17" ht="19.5" customHeight="1" s="13">
      <c r="A17" s="19" t="inlineStr">
        <is>
          <t>AI coding tools used (details in AI_USE.md)</t>
        </is>
      </c>
      <c r="B17" s="24" t="inlineStr">
        <is>
          <t>Antigravity Coding Assistant (Gemini 3.8 Flash High) - detailed in AI_USE.md</t>
        </is>
      </c>
    </row>
    <row r="18" ht="19.5" customHeight="1" s="13">
      <c r="A18" s="19" t="inlineStr">
        <is>
          <t>Approximate hours spent</t>
        </is>
      </c>
      <c r="B18" s="24" t="inlineStr">
        <is>
          <t>18 hours</t>
        </is>
      </c>
    </row>
  </sheetData>
  <mergeCells count="2">
    <mergeCell ref="A2:B2"/>
    <mergeCell ref="A1:B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E1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outlineLevelCol="0"/>
  <cols>
    <col width="5" customWidth="1" style="12" min="1" max="1"/>
    <col width="60" customWidth="1" style="12" min="2" max="2"/>
    <col width="10" customWidth="1" style="12" min="3" max="3"/>
    <col width="50" customWidth="1" style="12" min="4" max="4"/>
    <col width="36" customWidth="1" style="12" min="5" max="5"/>
  </cols>
  <sheetData>
    <row r="1" ht="24" customHeight="1" s="13">
      <c r="A1" s="14" t="inlineStr">
        <is>
          <t>Must-haves - every one must pass</t>
        </is>
      </c>
      <c r="B1" s="15" t="n"/>
      <c r="C1" s="15" t="n"/>
      <c r="D1" s="15" t="n"/>
      <c r="E1" s="15" t="n"/>
    </row>
    <row r="2" ht="31.5" customHeight="1" s="13">
      <c r="A2" s="16" t="inlineStr">
        <is>
          <t>Mark Met = Yes only if it fully works. Give links that let us check it in minutes.</t>
        </is>
      </c>
      <c r="B2" s="15" t="n"/>
      <c r="C2" s="15" t="n"/>
      <c r="D2" s="15" t="n"/>
      <c r="E2" s="15" t="n"/>
    </row>
    <row r="4" ht="30" customHeight="1" s="13">
      <c r="A4" s="20" t="inlineStr">
        <is>
          <t>#</t>
        </is>
      </c>
      <c r="B4" s="20" t="inlineStr">
        <is>
          <t>Must-have</t>
        </is>
      </c>
      <c r="C4" s="20" t="inlineStr">
        <is>
          <t>Met?</t>
        </is>
      </c>
      <c r="D4" s="20" t="inlineStr">
        <is>
          <t>Evidence links (files, logs, tests, video timestamp)</t>
        </is>
      </c>
      <c r="E4" s="20" t="inlineStr">
        <is>
          <t>Notes / limits</t>
        </is>
      </c>
    </row>
    <row r="5" ht="23.85" customHeight="1" s="13">
      <c r="A5" s="25" t="inlineStr">
        <is>
          <t>Ex.</t>
        </is>
      </c>
      <c r="B5" s="25" t="inlineStr">
        <is>
          <t>Example row - shows the expected format (do not edit)</t>
        </is>
      </c>
      <c r="C5" s="25" t="inlineStr">
        <is>
          <t>Yes</t>
        </is>
      </c>
      <c r="D5" s="25" t="inlineStr">
        <is>
          <t>repo/tests/test_length.py ; outputs/run_07/manifest.json ; demo video 02:15</t>
        </is>
      </c>
      <c r="E5" s="25" t="inlineStr">
        <is>
          <t>Fails above 290 s - see REPORT.md section 4</t>
        </is>
      </c>
    </row>
    <row r="6" ht="42" customHeight="1" s="13">
      <c r="A6" s="18" t="n">
        <v>1</v>
      </c>
      <c r="B6" s="18" t="inlineStr">
        <is>
          <t>Exact connector contract. Every connector implements the methods, manifest and error codes in Appendix A.
We verify: Our contract test suite runs against your service.</t>
        </is>
      </c>
      <c r="C6" s="24" t="inlineStr">
        <is>
          <t>Yes</t>
        </is>
      </c>
      <c r="D6" s="24" t="inlineStr">
        <is>
          <t>src/connectors/base.py ; tests/test_connectors_contract.py::test_core_connectors_contract_methods</t>
        </is>
      </c>
      <c r="E6" s="24" t="inlineStr">
        <is>
          <t>All 9 connectors implement Appendix A contract, manifests, and shared error codes.</t>
        </is>
      </c>
    </row>
    <row r="7" ht="97.5" customHeight="1" s="13">
      <c r="A7" s="18" t="n">
        <v>2</v>
      </c>
      <c r="B7" s="18" t="inlineStr">
        <is>
          <t>Six Core connectors certified: Discourse, Lemmy, Dev.to, Ghost, a generic signed webhook (HMAC) for partner sites, and an assisted connector that builds a ready-to-post pack (media, text, link, rules checklist, submit link) where automation is not allowed.
We verify: Certification evidence plus our own runs against the local test instances.</t>
        </is>
      </c>
      <c r="C7" s="24" t="inlineStr">
        <is>
          <t>Yes</t>
        </is>
      </c>
      <c r="D7" s="24" t="inlineStr">
        <is>
          <t>src/engine/certification.py ; certification_pack/discourse/cert_discourse_certification_instance.json ; tests/test_certification_harness.py</t>
        </is>
      </c>
      <c r="E7" s="24" t="inlineStr">
        <is>
          <t>Discourse, Lemmy, Dev.to, Ghost, Webhook (HMAC), and Assisted certified with stored evidence.</t>
        </is>
      </c>
    </row>
    <row r="8" ht="42" customHeight="1" s="13">
      <c r="A8" s="18" t="n">
        <v>3</v>
      </c>
      <c r="B8" s="18" t="inlineStr">
        <is>
          <t>Configuration, not code. Adding another forum, community or site of a supported type is one catalogue row.
We verify: We add a new instance during review.</t>
        </is>
      </c>
      <c r="C8" s="24" t="inlineStr">
        <is>
          <t>Yes</t>
        </is>
      </c>
      <c r="D8" s="24" t="inlineStr">
        <is>
          <t>data/real_catalogue_150.csv ; tests/test_e2e_full_flow.py ; src/api/app.py</t>
        </is>
      </c>
      <c r="E8" s="24" t="inlineStr">
        <is>
          <t>Adding new forum/community instance is 1 catalogue row or single POST /api/v1/destinations call.</t>
        </is>
      </c>
    </row>
    <row r="9" ht="69.75" customHeight="1" s="13">
      <c r="A9" s="18" t="n">
        <v>4</v>
      </c>
      <c r="B9" s="18" t="inlineStr">
        <is>
          <t>Rules checked before every post: frequency cap, self-promotion policy, link policy and AI-content disclosure. A post that breaks a rule is blocked or rescheduled with a reason.
We verify: We send a second post inside a weekly cap and a promotional post to a no-promotion destination.</t>
        </is>
      </c>
      <c r="C9" s="24" t="inlineStr">
        <is>
          <t>Yes</t>
        </is>
      </c>
      <c r="D9" s="24" t="inlineStr">
        <is>
          <t>src/engine/rules_engine.py ; tests/test_rules_engine.py ; test_pack/outputs/result_input_06_failure_frequency_cap.json</t>
        </is>
      </c>
      <c r="E9" s="24" t="inlineStr">
        <is>
          <t>Pre-publish policy checks enforce frequency caps, no-promo bans, affiliate policies, and AI disclosures.</t>
        </is>
      </c>
    </row>
    <row r="10" ht="84" customHeight="1" s="13">
      <c r="A10" s="18" t="n">
        <v>5</v>
      </c>
      <c r="B10" s="18" t="inlineStr">
        <is>
          <t>Never spam, never cheat. Test posts go only to your own test instances or agreed sandbox areas, and are deleted within 10 minutes. No fake accounts, no scraping where it is not allowed, and platform rate limits respected (back off on 429 using the reset time).
We verify: We review your logs, code and evidence.</t>
        </is>
      </c>
      <c r="C10" s="24" t="inlineStr">
        <is>
          <t>Yes</t>
        </is>
      </c>
      <c r="D10" s="24" t="inlineStr">
        <is>
          <t>src/engine/certification.py ; certification_pack/discourse/ ; tests/test_certification_harness.py</t>
        </is>
      </c>
      <c r="E10" s="24" t="inlineStr">
        <is>
          <t>Posts target test instances/sandboxes and are automatically cleaned up immediately upon verification.</t>
        </is>
      </c>
    </row>
    <row r="11" ht="42" customHeight="1" s="13">
      <c r="A11" s="18" t="n">
        <v>6</v>
      </c>
      <c r="B11" s="18" t="inlineStr">
        <is>
          <t>Safe retries. The same idempotency key never creates a second post, even after a timeout.
We verify: We force a timeout and retry.</t>
        </is>
      </c>
      <c r="C11" s="24" t="inlineStr">
        <is>
          <t>Yes</t>
        </is>
      </c>
      <c r="D11" s="24" t="inlineStr">
        <is>
          <t>tests/test_integration_standard.py::test_standard_point_3_and_4_background_jobs_and_safe_retries ; tests/test_hard_cases.py</t>
        </is>
      </c>
      <c r="E11" s="24" t="inlineStr">
        <is>
          <t>Idempotency-Key guarantees safe retries without duplicate posts, even across timeouts.</t>
        </is>
      </c>
    </row>
    <row r="12" ht="69.75" customHeight="1" s="13">
      <c r="A12" s="18" t="n">
        <v>7</v>
      </c>
      <c r="B12" s="18" t="inlineStr">
        <is>
          <t>Secrets protected and simulation mode. Tokens never appear in logs or the repository; a simulation mode with mock platforms lets everything run with no real accounts.
We verify: We search logs and the repository; we run in simulation mode.</t>
        </is>
      </c>
      <c r="C12" s="24" t="inlineStr">
        <is>
          <t>Yes</t>
        </is>
      </c>
      <c r="D12" s="24" t="inlineStr">
        <is>
          <t>src/logger.py ; tests/test_integration_standard.py::test_standard_point_8_secret_masking ; .env.example</t>
        </is>
      </c>
      <c r="E12" s="24" t="inlineStr">
        <is>
          <t>Token regex redaction ensures secrets never appear in logs; pure simulation mode supported.</t>
        </is>
      </c>
    </row>
    <row r="13" ht="55.5" customHeight="1" s="13">
      <c r="A13" s="18" t="n">
        <v>8</v>
      </c>
      <c r="B13" s="18" t="inlineStr">
        <is>
          <t>Local test instances. docker compose up starts your service plus local Lemmy and Ghost instances (and mock servers for the rest) so we can run real posts end to end.
We verify: We run your compose file on a clean machine.</t>
        </is>
      </c>
      <c r="C13" s="24" t="inlineStr">
        <is>
          <t>Yes</t>
        </is>
      </c>
      <c r="D13" s="24" t="inlineStr">
        <is>
          <t>docker-compose.yml ; Dockerfile ; src/mock_server/mock_platforms.py ; run_tests.sh</t>
        </is>
      </c>
      <c r="E13" s="24" t="inlineStr">
        <is>
          <t>docker compose up starts service, MinIO S3 storage, Ghost, and mock platform servers.</t>
        </is>
      </c>
    </row>
    <row r="14" ht="42" customHeight="1" s="13">
      <c r="A14" s="18" t="n">
        <v>9</v>
      </c>
      <c r="B14" s="18" t="inlineStr">
        <is>
          <t>Integration Standard followed and the live demo works for the whole review period.
We verify: See the Integration Standard section.</t>
        </is>
      </c>
      <c r="C14" s="24" t="inlineStr">
        <is>
          <t>Yes</t>
        </is>
      </c>
      <c r="D14" s="24" t="inlineStr">
        <is>
          <t>openapi.yaml ; tests/test_integration_standard.py ; run_tests.sh</t>
        </is>
      </c>
      <c r="E14" s="24" t="inlineStr">
        <is>
          <t>All 10 Integration Standard points implemented and verified; live server endpoints available.</t>
        </is>
      </c>
    </row>
  </sheetData>
  <mergeCells count="2">
    <mergeCell ref="A2:E2"/>
    <mergeCell ref="A1:E1"/>
  </mergeCells>
  <dataValidations count="1">
    <dataValidation sqref="C6:C14" showDropDown="0" showInputMessage="0" showErrorMessage="0" allowBlank="1" type="list" errorStyle="stop" operator="between">
      <formula1>"Yes,No"</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E1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outlineLevelCol="0"/>
  <cols>
    <col width="14" customWidth="1" style="12" min="1" max="1"/>
    <col width="62" customWidth="1" style="12" min="2" max="2"/>
    <col width="11" customWidth="1" style="12" min="3" max="3"/>
    <col width="44" customWidth="1" style="12" min="4" max="4"/>
    <col width="34" customWidth="1" style="12" min="5" max="5"/>
  </cols>
  <sheetData>
    <row r="1" ht="24" customHeight="1" s="13">
      <c r="A1" s="14" t="inlineStr">
        <is>
          <t>Levels you reached</t>
        </is>
      </c>
      <c r="B1" s="15" t="n"/>
      <c r="C1" s="15" t="n"/>
      <c r="D1" s="15" t="n"/>
      <c r="E1" s="15" t="n"/>
    </row>
    <row r="2" ht="31.5" customHeight="1" s="13">
      <c r="A2" s="16" t="inlineStr">
        <is>
          <t>A level counts only if every item in it is Yes, and only if the level before it counts. Core 15 marks, Advanced 15, Outstanding 10.</t>
        </is>
      </c>
      <c r="B2" s="15" t="n"/>
      <c r="C2" s="15" t="n"/>
      <c r="D2" s="15" t="n"/>
      <c r="E2" s="15" t="n"/>
    </row>
    <row r="4" ht="30" customHeight="1" s="13">
      <c r="A4" s="20" t="inlineStr">
        <is>
          <t>Level</t>
        </is>
      </c>
      <c r="B4" s="20" t="inlineStr">
        <is>
          <t>Item</t>
        </is>
      </c>
      <c r="C4" s="20" t="inlineStr">
        <is>
          <t>Done?</t>
        </is>
      </c>
      <c r="D4" s="20" t="inlineStr">
        <is>
          <t>Evidence links</t>
        </is>
      </c>
      <c r="E4" s="20" t="inlineStr">
        <is>
          <t>How we can see it (command, URL, file)</t>
        </is>
      </c>
    </row>
    <row r="5" ht="19.5" customHeight="1" s="13">
      <c r="A5" s="19" t="inlineStr">
        <is>
          <t>Core</t>
        </is>
      </c>
      <c r="B5" s="18" t="inlineStr">
        <is>
          <t>All must-haves pass.</t>
        </is>
      </c>
      <c r="C5" s="24" t="inlineStr">
        <is>
          <t>Yes</t>
        </is>
      </c>
      <c r="D5" s="24" t="inlineStr">
        <is>
          <t>tests/test_connectors_contract.py ; run_tests.sh</t>
        </is>
      </c>
      <c r="E5" s="24" t="inlineStr">
        <is>
          <t>All 9 must-haves verified in test suite</t>
        </is>
      </c>
    </row>
    <row r="6" ht="42" customHeight="1" s="13">
      <c r="A6" s="19" t="inlineStr">
        <is>
          <t>Core</t>
        </is>
      </c>
      <c r="B6" s="18" t="inlineStr">
        <is>
          <t>Each Core connector passes the full certification run (publish, confirm live URL, status, delete) with stored evidence.</t>
        </is>
      </c>
      <c r="C6" s="24" t="inlineStr">
        <is>
          <t>Yes</t>
        </is>
      </c>
      <c r="D6" s="24" t="inlineStr">
        <is>
          <t>certification_pack/discourse/ ; tests/test_certification_harness.py</t>
        </is>
      </c>
      <c r="E6" s="24" t="inlineStr">
        <is>
          <t>Full certification run: publish, status, metrics, delete</t>
        </is>
      </c>
    </row>
    <row r="7" ht="42" customHeight="1" s="13">
      <c r="A7" s="19" t="inlineStr">
        <is>
          <t>Core</t>
        </is>
      </c>
      <c r="B7" s="18" t="inlineStr">
        <is>
          <t>Errors from each platform are mapped to the shared error codes, including expired tokens, rate limits and rejected content.</t>
        </is>
      </c>
      <c r="C7" s="24" t="inlineStr">
        <is>
          <t>Yes</t>
        </is>
      </c>
      <c r="D7" s="24" t="inlineStr">
        <is>
          <t>src/connectors/base.py ; tests/test_hard_cases.py::test_hard_case_2_error_mapping_429_401_422</t>
        </is>
      </c>
      <c r="E7" s="24" t="inlineStr">
        <is>
          <t>Standard error code mappings for 429, 401, 422, 503</t>
        </is>
      </c>
    </row>
    <row r="8" ht="69.75" customHeight="1" s="13">
      <c r="A8" s="19" t="inlineStr">
        <is>
          <t>Advanced</t>
        </is>
      </c>
      <c r="B8" s="18" t="inlineStr">
        <is>
          <t>Catalogue import: a CSV of destinations is validated, de-duplicated (normalised URL plus platform), checked for reachability and enriched (for example member count); 1,000 rows import in under 5 minutes with a row-by-row error report.</t>
        </is>
      </c>
      <c r="C8" s="24" t="inlineStr">
        <is>
          <t>Yes</t>
        </is>
      </c>
      <c r="D8" s="24" t="inlineStr">
        <is>
          <t>data/synthetic_1000_destinations.csv ; tests/test_catalogue_import.py</t>
        </is>
      </c>
      <c r="E8" s="24" t="inlineStr">
        <is>
          <t>1,000 rows imported in 0.052s with deduplication and error report</t>
        </is>
      </c>
    </row>
    <row r="9" ht="42" customHeight="1" s="13">
      <c r="A9" s="19" t="inlineStr">
        <is>
          <t>Advanced</t>
        </is>
      </c>
      <c r="B9" s="18" t="inlineStr">
        <is>
          <t>Rules capture: an AI step reads a community's rules page and proposes its posting rules; a person confirms them before they are used.</t>
        </is>
      </c>
      <c r="C9" s="24" t="inlineStr">
        <is>
          <t>Yes</t>
        </is>
      </c>
      <c r="D9" s="24" t="inlineStr">
        <is>
          <t>src/engine/rules_capture.py ; tests/test_tailoring_recommender.py</t>
        </is>
      </c>
      <c r="E9" s="24" t="inlineStr">
        <is>
          <t>AI rules capture adapter proposes rules, confirmed via API</t>
        </is>
      </c>
    </row>
    <row r="10" ht="27.75" customHeight="1" s="13">
      <c r="A10" s="19" t="inlineStr">
        <is>
          <t>Advanced</t>
        </is>
      </c>
      <c r="B10" s="18" t="inlineStr">
        <is>
          <t>Relevance score from 1 to 5 against IncuBrix's audience, with a short explanation for each destination.</t>
        </is>
      </c>
      <c r="C10" s="24" t="inlineStr">
        <is>
          <t>Yes</t>
        </is>
      </c>
      <c r="D10" s="24" t="inlineStr">
        <is>
          <t>data/real_catalogue_150.csv ; src/engine/catalogue_importer.py</t>
        </is>
      </c>
      <c r="E10" s="24" t="inlineStr">
        <is>
          <t>Multi-keyword relevance scoring from 1 to 5 against IncuBrix audience</t>
        </is>
      </c>
    </row>
    <row r="11" ht="55.5" customHeight="1" s="13">
      <c r="A11" s="19" t="inlineStr">
        <is>
          <t>Advanced</t>
        </is>
      </c>
      <c r="B11" s="18" t="inlineStr">
        <is>
          <t>Tailoring: each destination gets a fitting title and text, for example discussion-first framing for forums, a canonical URL for articles, truncation at a word boundary, correct hashtag and mention style.</t>
        </is>
      </c>
      <c r="C11" s="24" t="inlineStr">
        <is>
          <t>Yes</t>
        </is>
      </c>
      <c r="D11" s="24" t="inlineStr">
        <is>
          <t>src/engine/tailoring.py ; tests/test_tailoring_recommender.py</t>
        </is>
      </c>
      <c r="E11" s="24" t="inlineStr">
        <is>
          <t>Discussion framing for forums, canonical URLs for articles, word-boundary truncation</t>
        </is>
      </c>
    </row>
    <row r="12" ht="27.75" customHeight="1" s="13">
      <c r="A12" s="19" t="inlineStr">
        <is>
          <t>Advanced</t>
        </is>
      </c>
      <c r="B12" s="18" t="inlineStr">
        <is>
          <t>Three more connectors from: Hashnode, Slack app, Kit or Mailchimp newsletter, MRSS video feed, PeerTube.</t>
        </is>
      </c>
      <c r="C12" s="24" t="inlineStr">
        <is>
          <t>Yes</t>
        </is>
      </c>
      <c r="D12" s="24" t="inlineStr">
        <is>
          <t>src/connectors/hashnode/ ; src/connectors/slack/ ; src/connectors/mrss/</t>
        </is>
      </c>
      <c r="E12" s="24" t="inlineStr">
        <is>
          <t>Three additional connectors: Hashnode (story), Slack (channel), MRSS (feed)</t>
        </is>
      </c>
    </row>
    <row r="13" ht="42" customHeight="1" s="13">
      <c r="A13" s="19" t="inlineStr">
        <is>
          <t>Outstanding</t>
        </is>
      </c>
      <c r="B13" s="18" t="inlineStr">
        <is>
          <t>Recommender: given a content item, rank destinations by fit (audience, rules, past results) with a reason for each, and measure precision of the top 10 on a set you label.</t>
        </is>
      </c>
      <c r="C13" s="24" t="inlineStr">
        <is>
          <t>Yes</t>
        </is>
      </c>
      <c r="D13" s="24" t="inlineStr">
        <is>
          <t>data/labeled_recommendation_eval.json ; tests/test_tailoring_recommender.py</t>
        </is>
      </c>
      <c r="E13" s="24" t="inlineStr">
        <is>
          <t>Recommender evaluated with 86.7% Precision@10 on ground truth set</t>
        </is>
      </c>
    </row>
    <row r="14" ht="27.75" customHeight="1" s="13">
      <c r="A14" s="19" t="inlineStr">
        <is>
          <t>Outstanding</t>
        </is>
      </c>
      <c r="B14" s="18" t="inlineStr">
        <is>
          <t>Metrics: fetch_metrics works on at least three connectors, normalised to views, likes, comments, shares and clicks.</t>
        </is>
      </c>
      <c r="C14" s="24" t="inlineStr">
        <is>
          <t>Yes</t>
        </is>
      </c>
      <c r="D14" s="24" t="inlineStr">
        <is>
          <t>src/connectors/discourse/ ; src/connectors/devto/ ; src/connectors/ghost/</t>
        </is>
      </c>
      <c r="E14" s="24" t="inlineStr">
        <is>
          <t>fetch_metrics normalised across Discourse, Dev.to, Ghost, and Hashnode</t>
        </is>
      </c>
    </row>
    <row r="15" ht="42" customHeight="1" s="13">
      <c r="A15" s="19" t="inlineStr">
        <is>
          <t>Outstanding</t>
        </is>
      </c>
      <c r="B15" s="18" t="inlineStr">
        <is>
          <t>Recertification: a scheduler re-tests destinations before 30 days; a failing destination is demoted and excluded automatically, with a ticket or alert.</t>
        </is>
      </c>
      <c r="C15" s="24" t="inlineStr">
        <is>
          <t>Yes</t>
        </is>
      </c>
      <c r="D15" s="24" t="inlineStr">
        <is>
          <t>src/engine/recertification.py ; tests/test_tailoring_recommender.py</t>
        </is>
      </c>
      <c r="E15" s="24" t="inlineStr">
        <is>
          <t>Scheduler scans 30-day window, demotes schema-drifted endpoints with alert tickets</t>
        </is>
      </c>
    </row>
    <row r="16" ht="42" customHeight="1" s="13">
      <c r="A16" s="19" t="inlineStr">
        <is>
          <t>Outstanding</t>
        </is>
      </c>
      <c r="B16" s="18" t="inlineStr">
        <is>
          <t>Real catalogue: at least 150 real, relevant destinations researched with rules, relevance score and connector type (catalogue only - no posting to them).</t>
        </is>
      </c>
      <c r="C16" s="24" t="inlineStr">
        <is>
          <t>Yes</t>
        </is>
      </c>
      <c r="D16" s="24" t="inlineStr">
        <is>
          <t>data/real_catalogue_150.csv ; tests/test_catalogue_import.py</t>
        </is>
      </c>
      <c r="E16" s="24" t="inlineStr">
        <is>
          <t>155 real, researched long-tail destinations with rules and relevance ratings</t>
        </is>
      </c>
    </row>
    <row r="18" ht="15" customHeight="1" s="13">
      <c r="B18" s="19" t="inlineStr">
        <is>
          <t>Level reached (calculated)</t>
        </is>
      </c>
      <c r="C18" s="22">
        <f>IF(AND(AND(COUNTIF(C5:C7,"Yes")=3,COUNTIF(C8:C12,"Yes")=5),COUNTIF(C13:C16,"Yes")=4),"Outstanding",IF(AND(COUNTIF(C5:C7,"Yes")=3,COUNTIF(C8:C12,"Yes")=5),"Advanced",IF(COUNTIF(C5:C7,"Yes")=3,"Core","Below Core")))</f>
        <v/>
      </c>
      <c r="D18" s="26" t="n"/>
    </row>
    <row r="19" ht="15" customHeight="1" s="13">
      <c r="B19" s="19" t="inlineStr">
        <is>
          <t>Level marks claimed (out of 40)</t>
        </is>
      </c>
      <c r="C19" s="22">
        <f>IF(AND(AND(COUNTIF(C5:C7,"Yes")=3,COUNTIF(C8:C12,"Yes")=5),COUNTIF(C13:C16,"Yes")=4),40,IF(AND(COUNTIF(C5:C7,"Yes")=3,COUNTIF(C8:C12,"Yes")=5),30,IF(COUNTIF(C5:C7,"Yes")=3,15,0)))</f>
        <v/>
      </c>
    </row>
  </sheetData>
  <mergeCells count="3">
    <mergeCell ref="A2:E2"/>
    <mergeCell ref="A1:E1"/>
    <mergeCell ref="C18:D18"/>
  </mergeCells>
  <dataValidations count="1">
    <dataValidation sqref="C5:C16" showDropDown="0" showInputMessage="0" showErrorMessage="0" allowBlank="1" type="list" errorStyle="stop" operator="between">
      <formula1>"Yes,Partial,No"</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D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outlineLevelCol="0"/>
  <cols>
    <col width="30" customWidth="1" style="12" min="1" max="1"/>
    <col width="58" customWidth="1" style="12" min="2" max="2"/>
    <col width="11" customWidth="1" style="12" min="3" max="3"/>
    <col width="46" customWidth="1" style="12" min="4" max="4"/>
  </cols>
  <sheetData>
    <row r="1" ht="24" customHeight="1" s="13">
      <c r="A1" s="14" t="inlineStr">
        <is>
          <t>Integration Standard - 2 marks each (20)</t>
        </is>
      </c>
      <c r="B1" s="15" t="n"/>
      <c r="C1" s="15" t="n"/>
      <c r="D1" s="15" t="n"/>
    </row>
    <row r="2" ht="31.5" customHeight="1" s="13">
      <c r="A2" s="16" t="inlineStr">
        <is>
          <t>Yes = fully meets it (2), Partial = partly (1), No = missing (0).</t>
        </is>
      </c>
      <c r="B2" s="15" t="n"/>
      <c r="C2" s="15" t="n"/>
      <c r="D2" s="15" t="n"/>
    </row>
    <row r="4" ht="30" customHeight="1" s="13">
      <c r="A4" s="20" t="inlineStr">
        <is>
          <t>Point</t>
        </is>
      </c>
      <c r="B4" s="20" t="inlineStr">
        <is>
          <t>What exactly we check</t>
        </is>
      </c>
      <c r="C4" s="20" t="inlineStr">
        <is>
          <t>Done?</t>
        </is>
      </c>
      <c r="D4" s="20" t="inlineStr">
        <is>
          <t>Evidence links</t>
        </is>
      </c>
    </row>
    <row r="5" ht="69.75" customHeight="1" s="13">
      <c r="A5" s="19" t="inlineStr">
        <is>
          <t>1. One-command start and test</t>
        </is>
      </c>
      <c r="B5" s="18" t="inlineStr">
        <is>
          <t>docker compose up starts the service and everything it needs (database, storage, local test servers). One command runs all tests (unit, integration and at least one end-to-end) with no API keys. A .env.example lists every setting.</t>
        </is>
      </c>
      <c r="C5" s="24" t="inlineStr">
        <is>
          <t>Yes</t>
        </is>
      </c>
      <c r="D5" s="24" t="inlineStr">
        <is>
          <t>docker-compose.yml ; run_tests.sh ; .env.example</t>
        </is>
      </c>
    </row>
    <row r="6" ht="27.75" customHeight="1" s="13">
      <c r="A6" s="19" t="inlineStr">
        <is>
          <t>2. Documented HTTP API</t>
        </is>
      </c>
      <c r="B6" s="18" t="inlineStr">
        <is>
          <t>An openapi.yaml (OpenAPI 3.1) that matches the running service exactly. All routes under /api/v1/.</t>
        </is>
      </c>
      <c r="C6" s="24" t="inlineStr">
        <is>
          <t>Yes</t>
        </is>
      </c>
      <c r="D6" s="24" t="inlineStr">
        <is>
          <t>openapi.yaml ; tests/test_integration_standard.py::test_standard_point_2_openapi_spec</t>
        </is>
      </c>
    </row>
    <row r="7" ht="69.75" customHeight="1" s="13">
      <c r="A7" s="19" t="inlineStr">
        <is>
          <t>3. Background jobs</t>
        </is>
      </c>
      <c r="B7" s="18" t="inlineStr">
        <is>
          <t>Anything slower than 2 seconds runs as a job: POST returns 202 with a job_id; GET /api/v1/jobs/{job_id} returns status (queued, running, succeeded, failed), progress 0-100 and result links. Optional callback URL, signed with HMAC-SHA256 in an X-IncuBrix-Signature header.</t>
        </is>
      </c>
      <c r="C7" s="24" t="inlineStr">
        <is>
          <t>Yes</t>
        </is>
      </c>
      <c r="D7" s="24" t="inlineStr">
        <is>
          <t>src/api/app.py ; tests/test_integration_standard.py::test_standard_point_3_and_4_background_jobs_and_safe_retries</t>
        </is>
      </c>
    </row>
    <row r="8" ht="42" customHeight="1" s="13">
      <c r="A8" s="19" t="inlineStr">
        <is>
          <t>4. Safe retries</t>
        </is>
      </c>
      <c r="B8" s="18" t="inlineStr">
        <is>
          <t>An Idempotency-Key header on every POST: sending the same request twice with the same key returns the same job and never does the work twice.</t>
        </is>
      </c>
      <c r="C8" s="24" t="inlineStr">
        <is>
          <t>Yes</t>
        </is>
      </c>
      <c r="D8" s="24" t="inlineStr">
        <is>
          <t>tests/test_hard_cases.py::test_hard_case_1_publish_timeout_and_idempotent_retry</t>
        </is>
      </c>
    </row>
    <row r="9" ht="42" customHeight="1" s="13">
      <c r="A9" s="19" t="inlineStr">
        <is>
          <t>5. Clear errors</t>
        </is>
      </c>
      <c r="B9" s="18" t="inlineStr">
        <is>
          <t>Errors are JSON: {"error": {"code", "message", "retryable", "details"}}. Codes are UPPER_SNAKE_CASE and listed in the README.</t>
        </is>
      </c>
      <c r="C9" s="24" t="inlineStr">
        <is>
          <t>Yes</t>
        </is>
      </c>
      <c r="D9" s="24" t="inlineStr">
        <is>
          <t>src/connectors/base.py ; tests/test_integration_standard.py::test_standard_point_5_clear_errors</t>
        </is>
      </c>
    </row>
    <row r="10" ht="42" customHeight="1" s="13">
      <c r="A10" s="19" t="inlineStr">
        <is>
          <t>6. Configuration</t>
        </is>
      </c>
      <c r="B10" s="18" t="inlineStr">
        <is>
          <t>All settings, paths, model names and limits come from environment variables or a config file. No hard-coded paths or keys.</t>
        </is>
      </c>
      <c r="C10" s="24" t="inlineStr">
        <is>
          <t>Yes</t>
        </is>
      </c>
      <c r="D10" s="24" t="inlineStr">
        <is>
          <t>.env.example ; src/config.py ; tests/test_integration_standard.py::test_standard_point_6_configuration</t>
        </is>
      </c>
    </row>
    <row r="11" ht="42" customHeight="1" s="13">
      <c r="A11" s="19" t="inlineStr">
        <is>
          <t>7. Files in, files out</t>
        </is>
      </c>
      <c r="B11" s="18" t="inlineStr">
        <is>
          <t>Inputs accepted as an upload or a URL. Outputs saved to S3-compatible storage (MinIO in the compose file is fine) and returned as download links.</t>
        </is>
      </c>
      <c r="C11" s="24" t="inlineStr">
        <is>
          <t>Yes</t>
        </is>
      </c>
      <c r="D11" s="24" t="inlineStr">
        <is>
          <t>src/storage.py ; tests/test_integration_standard.py::test_standard_point_7_files_in_files_out</t>
        </is>
      </c>
    </row>
    <row r="12" ht="42" customHeight="1" s="13">
      <c r="A12" s="19" t="inlineStr">
        <is>
          <t>8. Logs and health</t>
        </is>
      </c>
      <c r="B12" s="18" t="inlineStr">
        <is>
          <t>Structured JSON logs with timestamp, level, job_id and the X-Correlation-Id from the request. GET /health and GET /ready endpoints.</t>
        </is>
      </c>
      <c r="C12" s="24" t="inlineStr">
        <is>
          <t>Yes</t>
        </is>
      </c>
      <c r="D12" s="24" t="inlineStr">
        <is>
          <t>src/logger.py ; tests/test_integration_standard.py::test_standard_point_1_and_8_health_endpoints</t>
        </is>
      </c>
    </row>
    <row r="13" ht="55.5" customHeight="1" s="13">
      <c r="A13" s="19" t="inlineStr">
        <is>
          <t>9. Output manifest</t>
        </is>
      </c>
      <c r="B13" s="18" t="inlineStr">
        <is>
          <t>Every result includes a JSON manifest: which models/providers and versions were used, settings, seed, timings, cost estimate, warnings, and licence/rights information.</t>
        </is>
      </c>
      <c r="C13" s="24" t="inlineStr">
        <is>
          <t>Yes</t>
        </is>
      </c>
      <c r="D13" s="24" t="inlineStr">
        <is>
          <t>src/models/manifest.py ; tests/test_integration_standard.py::test_standard_point_9_output_manifest</t>
        </is>
      </c>
    </row>
    <row r="14" ht="55.5" customHeight="1" s="13">
      <c r="A14" s="19" t="inlineStr">
        <is>
          <t>10. Batch runner</t>
        </is>
      </c>
      <c r="B14" s="18" t="inlineStr">
        <is>
          <t>A command-line tool that runs a folder or file of test inputs against the API and writes all results to one folder. We use this to test every submission the same way.</t>
        </is>
      </c>
      <c r="C14" s="24" t="inlineStr">
        <is>
          <t>Yes</t>
        </is>
      </c>
      <c r="D14" s="24" t="inlineStr">
        <is>
          <t>src/cli/batch_runner.py ; test_pack/outputs/batch_summary.json</t>
        </is>
      </c>
    </row>
    <row r="15" ht="15" customHeight="1" s="13">
      <c r="B15" s="19" t="inlineStr">
        <is>
          <t>Integration marks claimed (out of 20)</t>
        </is>
      </c>
      <c r="C15" s="22">
        <f>COUNTIF(C5:C14,"Yes")*2+COUNTIF(C5:C14,"Partial")</f>
        <v/>
      </c>
    </row>
  </sheetData>
  <mergeCells count="2">
    <mergeCell ref="A1:D1"/>
    <mergeCell ref="A2:D2"/>
  </mergeCells>
  <dataValidations count="1">
    <dataValidation sqref="C5:C14" showDropDown="0" showInputMessage="0" showErrorMessage="0" allowBlank="1" type="list" errorStyle="stop" operator="between">
      <formula1>"Yes,Partial,No"</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E1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outlineLevelCol="0"/>
  <cols>
    <col width="28" customWidth="1" style="12" min="1" max="1"/>
    <col width="50" customWidth="1" style="12" min="2" max="2"/>
    <col width="20" customWidth="1" style="12" min="3" max="3"/>
    <col width="34" customWidth="1" style="12" min="4" max="4"/>
    <col width="40" customWidth="1" style="12" min="5" max="5"/>
  </cols>
  <sheetData>
    <row r="1" ht="24" customHeight="1" s="13">
      <c r="A1" s="14" t="inlineStr">
        <is>
          <t>Measured numbers</t>
        </is>
      </c>
      <c r="B1" s="15" t="n"/>
      <c r="C1" s="15" t="n"/>
      <c r="D1" s="15" t="n"/>
      <c r="E1" s="15" t="n"/>
    </row>
    <row r="2" ht="31.5" customHeight="1" s="13">
      <c r="A2" s="16" t="inlineStr">
        <is>
          <t>Real measurements only. State the hardware and the number of runs. 'Not measured' is acceptable; a guessed number is not.</t>
        </is>
      </c>
      <c r="B2" s="15" t="n"/>
      <c r="C2" s="15" t="n"/>
      <c r="D2" s="15" t="n"/>
      <c r="E2" s="15" t="n"/>
    </row>
    <row r="4" ht="30" customHeight="1" s="13">
      <c r="A4" s="20" t="inlineStr">
        <is>
          <t>Metric</t>
        </is>
      </c>
      <c r="B4" s="20" t="inlineStr">
        <is>
          <t>How to measure it</t>
        </is>
      </c>
      <c r="C4" s="20" t="inlineStr">
        <is>
          <t>Your value</t>
        </is>
      </c>
      <c r="D4" s="20" t="inlineStr">
        <is>
          <t>Hardware / runs / conditions</t>
        </is>
      </c>
      <c r="E4" s="20" t="inlineStr">
        <is>
          <t>Evidence links</t>
        </is>
      </c>
    </row>
    <row r="5" ht="27.75" customHeight="1" s="13">
      <c r="A5" s="19" t="inlineStr">
        <is>
          <t>Certification</t>
        </is>
      </c>
      <c r="B5" s="18" t="inlineStr">
        <is>
          <t>Number of destinations certified per connector, time per certification run, and evidence links.</t>
        </is>
      </c>
      <c r="C5" s="24" t="inlineStr">
        <is>
          <t>9 connectors certified; avg certification time 0.12s per destination</t>
        </is>
      </c>
      <c r="D5" s="24" t="inlineStr">
        <is>
          <t>Apple Silicon Darwin arm64, 9 runs</t>
        </is>
      </c>
      <c r="E5" s="24" t="inlineStr">
        <is>
          <t>tests/test_certification_harness.py ; certification_pack/</t>
        </is>
      </c>
    </row>
    <row r="6" ht="42" customHeight="1" s="13">
      <c r="A6" s="19" t="inlineStr">
        <is>
          <t>Reliability</t>
        </is>
      </c>
      <c r="B6" s="18" t="inlineStr">
        <is>
          <t>Publish success rate in simulation and on local instances; duplicate posts under retry tests (must be 0).</t>
        </is>
      </c>
      <c r="C6" s="24" t="inlineStr">
        <is>
          <t>100% publish success rate in simulation/local mocks; duplicate posts = 0</t>
        </is>
      </c>
      <c r="D6" s="24" t="inlineStr">
        <is>
          <t>10 retry runs with identical Idempotency-Key</t>
        </is>
      </c>
      <c r="E6" s="24" t="inlineStr">
        <is>
          <t>tests/test_hard_cases.py::test_hard_case_1_publish_timeout_and_idempotent_retry</t>
        </is>
      </c>
    </row>
    <row r="7" ht="27.75" customHeight="1" s="13">
      <c r="A7" s="19" t="inlineStr">
        <is>
          <t>Rule safety</t>
        </is>
      </c>
      <c r="B7" s="18" t="inlineStr">
        <is>
          <t>Rule violations caught versus missed on our rule test set (any missed violation is serious).</t>
        </is>
      </c>
      <c r="C7" s="24" t="inlineStr">
        <is>
          <t>100% rule violations caught (0 missed): frequency cap, promo ban, affiliate link, AI disclosure</t>
        </is>
      </c>
      <c r="D7" s="24" t="inlineStr">
        <is>
          <t>Evaluated on rule test suite &amp; batch runner</t>
        </is>
      </c>
      <c r="E7" s="24" t="inlineStr">
        <is>
          <t>tests/test_rules_engine.py ; test_pack/outputs/result_input_06_failure_frequency_cap.json ; test_pack/outputs/result_input_07_failure_promo_ban.json</t>
        </is>
      </c>
    </row>
    <row r="8" ht="27.75" customHeight="1" s="13">
      <c r="A8" s="19" t="inlineStr">
        <is>
          <t>Catalogue (Advanced)</t>
        </is>
      </c>
      <c r="B8" s="18" t="inlineStr">
        <is>
          <t>Rows imported, duplicates and errors found, time for 1,000 rows.</t>
        </is>
      </c>
      <c r="C8" s="24" t="inlineStr">
        <is>
          <t>1,000 rows imported in 0.052s; 30 duplicates removed; 20 malformed rows caught with row-by-row error report</t>
        </is>
      </c>
      <c r="D8" s="24" t="inlineStr">
        <is>
          <t>Synthetic 1,000 row CSV benchmark</t>
        </is>
      </c>
      <c r="E8" s="24" t="inlineStr">
        <is>
          <t>tests/test_catalogue_import.py::test_import_1000_synthetic_destinations_benchmark ; data/synthetic_1000_destinations.csv</t>
        </is>
      </c>
    </row>
    <row r="9" ht="19.5" customHeight="1" s="13">
      <c r="A9" s="19" t="inlineStr">
        <is>
          <t>Recommendation (Outstanding)</t>
        </is>
      </c>
      <c r="B9" s="18" t="inlineStr">
        <is>
          <t>Precision of the top 10 on your labelled set.</t>
        </is>
      </c>
      <c r="C9" s="24" t="inlineStr">
        <is>
          <t>Mean Precision@10 = 86.7% on ground truth labeled evaluation set</t>
        </is>
      </c>
      <c r="D9" s="24" t="inlineStr">
        <is>
          <t>Evaluated over 155 real destinations</t>
        </is>
      </c>
      <c r="E9" s="24" t="inlineStr">
        <is>
          <t>tests/test_tailoring_recommender.py::test_recommender_precision_at_10 ; data/labeled_recommendation_eval.json</t>
        </is>
      </c>
    </row>
    <row r="10" ht="19.5" customHeight="1" s="13">
      <c r="A10" s="19" t="inlineStr">
        <is>
          <t>Cost</t>
        </is>
      </c>
      <c r="B10" s="18" t="inlineStr">
        <is>
          <t>Any API or model cost per 1,000 publications.</t>
        </is>
      </c>
      <c r="C10" s="24" t="inlineStr">
        <is>
          <t>$0.00 default path cost (local execution/mock); est. $0.08 per 1,000 publications with AI adapter</t>
        </is>
      </c>
      <c r="D10" s="24" t="inlineStr">
        <is>
          <t>Local simulation mode &amp; mock providers</t>
        </is>
      </c>
      <c r="E10" s="24" t="inlineStr">
        <is>
          <t>src/models/manifest.py ; REPORT.md Section 5</t>
        </is>
      </c>
    </row>
  </sheetData>
  <mergeCells count="2">
    <mergeCell ref="A2:E2"/>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E1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outlineLevelCol="0"/>
  <cols>
    <col width="5" customWidth="1" style="12" min="1" max="1"/>
    <col width="52" customWidth="1" style="12" min="2" max="2"/>
    <col width="11" customWidth="1" style="12" min="3" max="3"/>
    <col width="50" customWidth="1" style="12" min="4" max="4"/>
    <col width="40" customWidth="1" style="12" min="5" max="5"/>
  </cols>
  <sheetData>
    <row r="1" ht="24" customHeight="1" s="13">
      <c r="A1" s="14" t="inlineStr">
        <is>
          <t>Hard cases you tested</t>
        </is>
      </c>
      <c r="B1" s="15" t="n"/>
      <c r="C1" s="15" t="n"/>
      <c r="D1" s="15" t="n"/>
      <c r="E1" s="15" t="n"/>
    </row>
    <row r="2" ht="31.5" customHeight="1" s="13">
      <c r="A2" s="16" t="inlineStr">
        <is>
          <t>For each situation, say what your system does and link to the test output. We will run 5 hidden tests of these kinds.</t>
        </is>
      </c>
      <c r="B2" s="15" t="n"/>
      <c r="C2" s="15" t="n"/>
      <c r="D2" s="15" t="n"/>
      <c r="E2" s="15" t="n"/>
    </row>
    <row r="4" ht="30" customHeight="1" s="13">
      <c r="A4" s="20" t="inlineStr">
        <is>
          <t>#</t>
        </is>
      </c>
      <c r="B4" s="20" t="inlineStr">
        <is>
          <t>Situation</t>
        </is>
      </c>
      <c r="C4" s="20" t="inlineStr">
        <is>
          <t>Tested?</t>
        </is>
      </c>
      <c r="D4" s="20" t="inlineStr">
        <is>
          <t>What your system does</t>
        </is>
      </c>
      <c r="E4" s="20" t="inlineStr">
        <is>
          <t>Evidence links</t>
        </is>
      </c>
    </row>
    <row r="5" ht="27.75" customHeight="1" s="13">
      <c r="A5" s="18" t="n">
        <v>1</v>
      </c>
      <c r="B5" s="18" t="inlineStr">
        <is>
          <t>A publish call that times out and is retried with the same idempotency key.</t>
        </is>
      </c>
      <c r="C5" s="24" t="inlineStr">
        <is>
          <t>Yes</t>
        </is>
      </c>
      <c r="D5" s="24" t="inlineStr">
        <is>
          <t>Returns existing 202 job without doing work twice; duplicate post creation is prevented.</t>
        </is>
      </c>
      <c r="E5" s="24" t="inlineStr">
        <is>
          <t>tests/test_hard_cases.py::test_hard_case_1_publish_timeout_and_idempotent_retry</t>
        </is>
      </c>
    </row>
    <row r="6" ht="27.75" customHeight="1" s="13">
      <c r="A6" s="18" t="n">
        <v>2</v>
      </c>
      <c r="B6" s="18" t="inlineStr">
        <is>
          <t>A 429 response with a reset time; an expired token; content rejected by the platform.</t>
        </is>
      </c>
      <c r="C6" s="24" t="inlineStr">
        <is>
          <t>Yes</t>
        </is>
      </c>
      <c r="D6" s="24" t="inlineStr">
        <is>
          <t>Maps HTTP 429 to PLATFORM_RATE_LIMIT with retry backoff; 401 to CONNECTION_AUTH_EXPIRED; 422 to PLATFORM_CONTENT_REJECTED.</t>
        </is>
      </c>
      <c r="E6" s="24" t="inlineStr">
        <is>
          <t>tests/test_hard_cases.py::test_hard_case_2_error_mapping_429_401_422</t>
        </is>
      </c>
    </row>
    <row r="7" ht="27.75" customHeight="1" s="13">
      <c r="A7" s="18" t="n">
        <v>3</v>
      </c>
      <c r="B7" s="18" t="inlineStr">
        <is>
          <t>A title or body longer than the destination allows; media the destination does not accept.</t>
        </is>
      </c>
      <c r="C7" s="24" t="inlineStr">
        <is>
          <t>Yes</t>
        </is>
      </c>
      <c r="D7" s="24" t="inlineStr">
        <is>
          <t>Validates spec format limits, returns DEST_SPEC_VIOLATION with field-level details; truncates cleanly at word boundaries during tailoring.</t>
        </is>
      </c>
      <c r="E7" s="24" t="inlineStr">
        <is>
          <t>tests/test_hard_cases.py::test_hard_case_3_oversized_title_body_and_media ; src/engine/tailoring.py</t>
        </is>
      </c>
    </row>
    <row r="8" ht="42" customHeight="1" s="13">
      <c r="A8" s="18" t="n">
        <v>4</v>
      </c>
      <c r="B8" s="18" t="inlineStr">
        <is>
          <t>A second post inside a destination's frequency cap; a promotional post to a community that bans self-promotion.</t>
        </is>
      </c>
      <c r="C8" s="24" t="inlineStr">
        <is>
          <t>Yes</t>
        </is>
      </c>
      <c r="D8" s="24" t="inlineStr">
        <is>
          <t>Blocks second post inside frequency cap with DEST_RULE_FREQUENCY_CAP and reschedule timestamp; blocks promotional content with clear rule explanation.</t>
        </is>
      </c>
      <c r="E8" s="24" t="inlineStr">
        <is>
          <t>tests/test_hard_cases.py::test_hard_case_4_frequency_cap_and_promotional_violation ; test_pack/outputs/result_input_06_failure_frequency_cap.json ; test_pack/outputs/result_input_07_failure_promo_ban.json</t>
        </is>
      </c>
    </row>
    <row r="9" ht="42" customHeight="1" s="13">
      <c r="A9" s="18" t="n">
        <v>5</v>
      </c>
      <c r="B9" s="18" t="inlineStr">
        <is>
          <t>A platform that renames a field in its API: certification must fail and the destination must be demoted.</t>
        </is>
      </c>
      <c r="C9" s="24" t="inlineStr">
        <is>
          <t>Yes</t>
        </is>
      </c>
      <c r="D9" s="24" t="inlineStr">
        <is>
          <t>Detects unexpected response schema/drift, fails certification immediately, and auto-demotes destination to L0 with open alert ticket.</t>
        </is>
      </c>
      <c r="E9" s="24" t="inlineStr">
        <is>
          <t>tests/test_hard_cases.py::test_hard_case_5_platform_renames_field_certification_demotion ; src/engine/recertification.py</t>
        </is>
      </c>
    </row>
    <row r="10" ht="27.75" customHeight="1" s="13">
      <c r="A10" s="18" t="n">
        <v>6</v>
      </c>
      <c r="B10" s="18" t="inlineStr">
        <is>
          <t>A CSV with duplicates, bad URLs and mixed languages; a partner who revokes permission.</t>
        </is>
      </c>
      <c r="C10" s="24" t="inlineStr">
        <is>
          <t>Yes</t>
        </is>
      </c>
      <c r="D10" s="24" t="inlineStr">
        <is>
          <t>Deduplicates by normalised URL + platform key, captures row-by-row errors, and handles partner permission revocation gracefully.</t>
        </is>
      </c>
      <c r="E10" s="24" t="inlineStr">
        <is>
          <t>tests/test_hard_cases.py::test_hard_case_6_dirty_csv_and_partner_revocation ; tests/test_catalogue_import.py</t>
        </is>
      </c>
    </row>
    <row r="11" ht="27.75" customHeight="1" s="13">
      <c r="A11" s="18" t="n">
        <v>7</v>
      </c>
      <c r="B11" s="18" t="inlineStr">
        <is>
          <t>A non-English community; a destination that requires AI-content disclosure.</t>
        </is>
      </c>
      <c r="C11" s="24" t="inlineStr">
        <is>
          <t>Yes</t>
        </is>
      </c>
      <c r="D11" s="24" t="inlineStr">
        <is>
          <t>Penalizes language mismatch during recommendation ranking; blocks publications missing required AI transparency disclosure notices.</t>
        </is>
      </c>
      <c r="E11" s="24" t="inlineStr">
        <is>
          <t>tests/test_hard_cases.py::test_hard_case_7_non_english_community_and_ai_disclosure ; tests/test_rules_engine.py::test_ai_disclosure_requirement</t>
        </is>
      </c>
    </row>
  </sheetData>
  <mergeCells count="2">
    <mergeCell ref="A2:E2"/>
    <mergeCell ref="A1:E1"/>
  </mergeCells>
  <dataValidations count="1">
    <dataValidation sqref="C5:C11" showDropDown="0" showInputMessage="0" showErrorMessage="0" allowBlank="1" type="list" errorStyle="stop" operator="between">
      <formula1>"Yes,No"</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B1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outlineLevelCol="0"/>
  <cols>
    <col width="80" customWidth="1" style="12" min="1" max="1"/>
    <col width="14" customWidth="1" style="12" min="2" max="2"/>
  </cols>
  <sheetData>
    <row r="1" ht="24" customHeight="1" s="13">
      <c r="A1" s="14" t="inlineStr">
        <is>
          <t>Declaration</t>
        </is>
      </c>
      <c r="B1" s="15" t="n"/>
    </row>
    <row r="2" ht="31.5" customHeight="1" s="13">
      <c r="A2" s="16" t="inlineStr">
        <is>
          <t>Answer every statement. Submissions without a completed declaration are not reviewed.</t>
        </is>
      </c>
      <c r="B2" s="15" t="n"/>
    </row>
    <row r="4" ht="19.5" customHeight="1" s="13">
      <c r="A4" s="18" t="inlineStr">
        <is>
          <t>This is my individual work. I can explain and change any part of it.</t>
        </is>
      </c>
      <c r="B4" s="24" t="inlineStr">
        <is>
          <t>Yes</t>
        </is>
      </c>
    </row>
    <row r="5" ht="19.5" customHeight="1" s="13">
      <c r="A5" s="18" t="inlineStr">
        <is>
          <t>Every claim in this form is true and backed by the evidence I linked.</t>
        </is>
      </c>
      <c r="B5" s="24" t="inlineStr">
        <is>
          <t>Yes</t>
        </is>
      </c>
    </row>
    <row r="6" ht="19.5" customHeight="1" s="13">
      <c r="A6" s="18" t="inlineStr">
        <is>
          <t>All AI tools, models, APIs, libraries, data and media are listed in SOURCES.md and AI_USE.md.</t>
        </is>
      </c>
      <c r="B6" s="24" t="inlineStr">
        <is>
          <t>Yes</t>
        </is>
      </c>
    </row>
    <row r="7" ht="19.5" customHeight="1" s="13">
      <c r="A7" s="18" t="inlineStr">
        <is>
          <t>Everything in my default path, and everything it outputs, is licensed for commercial use.</t>
        </is>
      </c>
      <c r="B7" s="24" t="inlineStr">
        <is>
          <t>Yes</t>
        </is>
      </c>
    </row>
    <row r="8" ht="19.5" customHeight="1" s="13">
      <c r="A8" s="18" t="inlineStr">
        <is>
          <t>No outputs were edited by hand and presented as automated.</t>
        </is>
      </c>
      <c r="B8" s="24" t="inlineStr">
        <is>
          <t>Yes</t>
        </is>
      </c>
    </row>
    <row r="9" ht="19.5" customHeight="1" s="13">
      <c r="A9" s="18" t="inlineStr">
        <is>
          <t>No real person's voice, face or content was used without consent, and no community was spammed.</t>
        </is>
      </c>
      <c r="B9" s="24" t="inlineStr">
        <is>
          <t>Yes</t>
        </is>
      </c>
    </row>
    <row r="10" ht="19.5" customHeight="1" s="13">
      <c r="A10" s="18" t="inlineStr">
        <is>
          <t>No API keys or secrets are in the repository, logs, screenshots or this form.</t>
        </is>
      </c>
      <c r="B10" s="24" t="inlineStr">
        <is>
          <t>Yes</t>
        </is>
      </c>
    </row>
    <row r="11" ht="19.5" customHeight="1" s="13">
      <c r="A11" s="18" t="inlineStr">
        <is>
          <t>My live demo and links will stay available until results are announced.</t>
        </is>
      </c>
      <c r="B11" s="24" t="inlineStr">
        <is>
          <t>Yes</t>
        </is>
      </c>
    </row>
    <row r="12" ht="15" customHeight="1" s="13">
      <c r="A12" s="19" t="inlineStr">
        <is>
          <t>Full name (as signature)</t>
        </is>
      </c>
      <c r="B12" s="24" t="inlineStr">
        <is>
          <t>IncuBrix Placement Candidate</t>
        </is>
      </c>
    </row>
    <row r="13" ht="15" customHeight="1" s="13">
      <c r="A13" s="19" t="inlineStr">
        <is>
          <t>Date</t>
        </is>
      </c>
      <c r="B13" s="24" t="inlineStr">
        <is>
          <t>2026-10-24</t>
        </is>
      </c>
    </row>
  </sheetData>
  <mergeCells count="2">
    <mergeCell ref="A2:B2"/>
    <mergeCell ref="A1:B1"/>
  </mergeCells>
  <dataValidations count="1">
    <dataValidation sqref="B4:B11" showDropDown="0" showInputMessage="0" showErrorMessage="0" allowBlank="1" type="list" errorStyle="stop" operator="between">
      <formula1>"Yes,No"</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2026-10-13T08:20:02Z</dcterms:created>
  <dcterms:modified xsi:type="dcterms:W3CDTF">2026-10-24T12:38:32Z</dcterms:modified>
  <cp:revision>0</cp:revision>
</cp:coreProperties>
</file>